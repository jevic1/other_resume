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"/>
    </mc:Choice>
  </mc:AlternateContent>
  <xr:revisionPtr revIDLastSave="0" documentId="13_ncr:1_{5CA60264-EB40-4934-B12D-072D9443C055}" xr6:coauthVersionLast="47" xr6:coauthVersionMax="47" xr10:uidLastSave="{00000000-0000-0000-0000-000000000000}"/>
  <bookViews>
    <workbookView xWindow="-120" yWindow="-120" windowWidth="20730" windowHeight="11160" xr2:uid="{211AA444-EEBB-4D4D-9F4D-E34A136CCEC7}"/>
  </bookViews>
  <sheets>
    <sheet name="r1" sheetId="1" r:id="rId1"/>
    <sheet name="r2" sheetId="2" r:id="rId2"/>
    <sheet name="r3" sheetId="3" r:id="rId3"/>
    <sheet name="r4" sheetId="4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9" i="3" l="1"/>
  <c r="D30" i="3"/>
  <c r="D30" i="4"/>
  <c r="D29" i="4"/>
  <c r="D28" i="4"/>
  <c r="D30" i="2"/>
  <c r="D29" i="2"/>
  <c r="D28" i="2"/>
  <c r="D30" i="1"/>
  <c r="D29" i="1"/>
  <c r="D32" i="4" l="1"/>
  <c r="D31" i="4"/>
  <c r="D32" i="2"/>
  <c r="D31" i="2"/>
  <c r="D28" i="1"/>
  <c r="H16" i="1" s="1"/>
  <c r="D31" i="1"/>
  <c r="L9" i="1" s="1"/>
  <c r="D32" i="1"/>
  <c r="L11" i="1" s="1"/>
  <c r="H17" i="1" l="1"/>
  <c r="H18" i="1"/>
  <c r="D31" i="3"/>
  <c r="D32" i="3"/>
  <c r="D33" i="3"/>
  <c r="D33" i="4"/>
  <c r="D33" i="2"/>
  <c r="D33" i="1"/>
  <c r="L13" i="1" s="1"/>
  <c r="H19" i="1" s="1"/>
</calcChain>
</file>

<file path=xl/sharedStrings.xml><?xml version="1.0" encoding="utf-8"?>
<sst xmlns="http://schemas.openxmlformats.org/spreadsheetml/2006/main" count="32" uniqueCount="15">
  <si>
    <t>Actif Immobilisé</t>
  </si>
  <si>
    <t>Actif Circulant</t>
  </si>
  <si>
    <t>Capitaux Permanents</t>
  </si>
  <si>
    <t>Dettes à Court terme</t>
  </si>
  <si>
    <t>Total</t>
  </si>
  <si>
    <t>Actif</t>
  </si>
  <si>
    <t>Passif</t>
  </si>
  <si>
    <t>FRN</t>
  </si>
  <si>
    <t>BFR</t>
  </si>
  <si>
    <t>TN</t>
  </si>
  <si>
    <t>Fonds de roulement net</t>
  </si>
  <si>
    <t>Besoin en fonds de roulement</t>
  </si>
  <si>
    <t>Trésorerie nette</t>
  </si>
  <si>
    <t>Trésorerie-Actif</t>
  </si>
  <si>
    <t>Trésorerie-Passif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</si>
</sst>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409]#,##0.00"/>
    <numFmt numFmtId="165" formatCode=";;;"/>
  </numFmts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64" fontId="0" fillId="3" borderId="0" xfId="0" applyNumberFormat="1" applyFill="1"/>
    <xf numFmtId="164" fontId="0" fillId="2" borderId="0" xfId="0" applyNumberFormat="1" applyFill="1"/>
    <xf numFmtId="0" fontId="1" fillId="2" borderId="0" xfId="0" applyFont="1" applyFill="1"/>
    <xf numFmtId="165" fontId="0" fillId="2" borderId="0" xfId="0" applyNumberFormat="1" applyFill="1"/>
    <xf numFmtId="0" fontId="2" fillId="2" borderId="0" xfId="0" applyFont="1" applyFill="1"/>
  </cellXfs>
  <cellStyles count="1">
    <cellStyle name="Normal" xfId="0" builtinId="0"/>
  </cellStyles>
  <dxfs count="24"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00"/>
      <color rgb="FFFF3300"/>
      <color rgb="FFEC8C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2"/>
          <c:order val="0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'r1'!$F$14</c:f>
              <c:numCache>
                <c:formatCode>[$$-409]#\ ##0.00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D5-44CD-9A4B-D583EE56CD1F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'r1'!$F$12</c:f>
              <c:numCache>
                <c:formatCode>[$$-409]#\ ##0.00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D5-44CD-9A4B-D583EE56CD1F}"/>
            </c:ext>
          </c:extLst>
        </c:ser>
        <c:ser>
          <c:idx val="0"/>
          <c:order val="2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'r1'!$F$10</c:f>
              <c:numCache>
                <c:formatCode>[$$-409]#\ ##0.00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D5-44CD-9A4B-D583EE56C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66304744"/>
        <c:axId val="666307040"/>
      </c:barChart>
      <c:catAx>
        <c:axId val="666304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666307040"/>
        <c:crosses val="autoZero"/>
        <c:auto val="1"/>
        <c:lblAlgn val="ctr"/>
        <c:lblOffset val="100"/>
        <c:noMultiLvlLbl val="0"/>
      </c:catAx>
      <c:valAx>
        <c:axId val="666307040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66630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2"/>
          <c:order val="0"/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A34-42EB-86C2-6ACA2B74E7DF}"/>
              </c:ext>
            </c:extLst>
          </c:dPt>
          <c:val>
            <c:numRef>
              <c:f>'r1'!$F$20</c:f>
              <c:numCache>
                <c:formatCode>[$$-409]#\ ##0.00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34-42EB-86C2-6ACA2B74E7DF}"/>
            </c:ext>
          </c:extLst>
        </c:ser>
        <c:ser>
          <c:idx val="1"/>
          <c:order val="1"/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'r1'!$F$18</c:f>
              <c:numCache>
                <c:formatCode>[$$-409]#\ ##0.00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34-42EB-86C2-6ACA2B74E7DF}"/>
            </c:ext>
          </c:extLst>
        </c:ser>
        <c:ser>
          <c:idx val="0"/>
          <c:order val="2"/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/>
          </c:spPr>
          <c:invertIfNegative val="0"/>
          <c:val>
            <c:numRef>
              <c:f>'r1'!$F$16</c:f>
              <c:numCache>
                <c:formatCode>[$$-409]#\ ##0.00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34-42EB-86C2-6ACA2B74E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66299496"/>
        <c:axId val="666309664"/>
      </c:barChart>
      <c:catAx>
        <c:axId val="666299496"/>
        <c:scaling>
          <c:orientation val="minMax"/>
        </c:scaling>
        <c:delete val="1"/>
        <c:axPos val="b"/>
        <c:majorTickMark val="none"/>
        <c:minorTickMark val="none"/>
        <c:tickLblPos val="nextTo"/>
        <c:crossAx val="666309664"/>
        <c:crosses val="autoZero"/>
        <c:auto val="1"/>
        <c:lblAlgn val="ctr"/>
        <c:lblOffset val="100"/>
        <c:noMultiLvlLbl val="0"/>
      </c:catAx>
      <c:valAx>
        <c:axId val="66630966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666299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'r1'!A1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hyperlink" Target="#'r4'!A1"/><Relationship Id="rId5" Type="http://schemas.openxmlformats.org/officeDocument/2006/relationships/hyperlink" Target="#'r3'!A1"/><Relationship Id="rId4" Type="http://schemas.openxmlformats.org/officeDocument/2006/relationships/hyperlink" Target="#'r2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r4'!A1"/><Relationship Id="rId2" Type="http://schemas.openxmlformats.org/officeDocument/2006/relationships/hyperlink" Target="#'r3'!A1"/><Relationship Id="rId1" Type="http://schemas.openxmlformats.org/officeDocument/2006/relationships/image" Target="../media/image1.png"/><Relationship Id="rId5" Type="http://schemas.openxmlformats.org/officeDocument/2006/relationships/hyperlink" Target="#'r2'!A1"/><Relationship Id="rId4" Type="http://schemas.openxmlformats.org/officeDocument/2006/relationships/hyperlink" Target="#'r1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r4'!A1"/><Relationship Id="rId2" Type="http://schemas.openxmlformats.org/officeDocument/2006/relationships/hyperlink" Target="#'r2'!A1"/><Relationship Id="rId1" Type="http://schemas.openxmlformats.org/officeDocument/2006/relationships/image" Target="../media/image1.png"/><Relationship Id="rId5" Type="http://schemas.openxmlformats.org/officeDocument/2006/relationships/hyperlink" Target="#'r3'!A1"/><Relationship Id="rId4" Type="http://schemas.openxmlformats.org/officeDocument/2006/relationships/hyperlink" Target="#'r1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r3'!A1"/><Relationship Id="rId2" Type="http://schemas.openxmlformats.org/officeDocument/2006/relationships/hyperlink" Target="#'r2'!A1"/><Relationship Id="rId1" Type="http://schemas.openxmlformats.org/officeDocument/2006/relationships/image" Target="../media/image1.png"/><Relationship Id="rId5" Type="http://schemas.openxmlformats.org/officeDocument/2006/relationships/hyperlink" Target="#'r4'!A1"/><Relationship Id="rId4" Type="http://schemas.openxmlformats.org/officeDocument/2006/relationships/hyperlink" Target="#'r1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76200</xdr:rowOff>
    </xdr:from>
    <xdr:to>
      <xdr:col>15</xdr:col>
      <xdr:colOff>352425</xdr:colOff>
      <xdr:row>22</xdr:row>
      <xdr:rowOff>0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909A6E96-6628-574A-7E43-CFA8BBBE85F2}"/>
            </a:ext>
          </a:extLst>
        </xdr:cNvPr>
        <xdr:cNvGrpSpPr/>
      </xdr:nvGrpSpPr>
      <xdr:grpSpPr>
        <a:xfrm>
          <a:off x="47625" y="76200"/>
          <a:ext cx="11099800" cy="4273550"/>
          <a:chOff x="47625" y="76200"/>
          <a:chExt cx="11809448" cy="4097612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24A36AB9-0159-7A06-938A-45BCBD2DCBE8}"/>
              </a:ext>
            </a:extLst>
          </xdr:cNvPr>
          <xdr:cNvSpPr/>
        </xdr:nvSpPr>
        <xdr:spPr>
          <a:xfrm>
            <a:off x="47625" y="76200"/>
            <a:ext cx="1638300" cy="409761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F7ABB17-A232-C903-452E-3658037C572B}"/>
              </a:ext>
            </a:extLst>
          </xdr:cNvPr>
          <xdr:cNvSpPr/>
        </xdr:nvSpPr>
        <xdr:spPr>
          <a:xfrm>
            <a:off x="1552574" y="76200"/>
            <a:ext cx="10304499" cy="1000125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oneCell">
    <xdr:from>
      <xdr:col>0</xdr:col>
      <xdr:colOff>409575</xdr:colOff>
      <xdr:row>0</xdr:row>
      <xdr:rowOff>161925</xdr:rowOff>
    </xdr:from>
    <xdr:to>
      <xdr:col>1</xdr:col>
      <xdr:colOff>504825</xdr:colOff>
      <xdr:row>5</xdr:row>
      <xdr:rowOff>33101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88FF071C-BB3A-77C4-8D0F-A0FA58026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161925"/>
          <a:ext cx="857250" cy="823676"/>
        </a:xfrm>
        <a:prstGeom prst="rect">
          <a:avLst/>
        </a:prstGeom>
      </xdr:spPr>
    </xdr:pic>
    <xdr:clientData/>
  </xdr:twoCellAnchor>
  <xdr:twoCellAnchor>
    <xdr:from>
      <xdr:col>2</xdr:col>
      <xdr:colOff>47623</xdr:colOff>
      <xdr:row>1</xdr:row>
      <xdr:rowOff>38100</xdr:rowOff>
    </xdr:from>
    <xdr:to>
      <xdr:col>13</xdr:col>
      <xdr:colOff>533399</xdr:colOff>
      <xdr:row>4</xdr:row>
      <xdr:rowOff>38100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FD200763-0514-A683-1851-A4F7248353CA}"/>
            </a:ext>
          </a:extLst>
        </xdr:cNvPr>
        <xdr:cNvSpPr txBox="1"/>
      </xdr:nvSpPr>
      <xdr:spPr>
        <a:xfrm>
          <a:off x="1571623" y="228600"/>
          <a:ext cx="822960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 b="1">
              <a:solidFill>
                <a:schemeClr val="bg1"/>
              </a:solidFill>
              <a:latin typeface="Arial Black" panose="020B0A04020102020204" pitchFamily="34" charset="0"/>
            </a:rPr>
            <a:t>ANALYSE FINANCIERE PAR LES</a:t>
          </a:r>
          <a:r>
            <a:rPr lang="fr-FR" sz="2800" b="1" baseline="0">
              <a:solidFill>
                <a:schemeClr val="bg1"/>
              </a:solidFill>
              <a:latin typeface="Arial Black" panose="020B0A04020102020204" pitchFamily="34" charset="0"/>
            </a:rPr>
            <a:t> RATIOS</a:t>
          </a:r>
          <a:endParaRPr lang="fr-FR" sz="28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3</xdr:col>
      <xdr:colOff>142875</xdr:colOff>
      <xdr:row>5</xdr:row>
      <xdr:rowOff>180975</xdr:rowOff>
    </xdr:from>
    <xdr:to>
      <xdr:col>5</xdr:col>
      <xdr:colOff>180975</xdr:colOff>
      <xdr:row>8</xdr:row>
      <xdr:rowOff>47625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A78C2E3B-CCC6-6E10-92DE-B97AF52697C0}"/>
            </a:ext>
          </a:extLst>
        </xdr:cNvPr>
        <xdr:cNvSpPr txBox="1"/>
      </xdr:nvSpPr>
      <xdr:spPr>
        <a:xfrm>
          <a:off x="2428875" y="1133475"/>
          <a:ext cx="156210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 b="1">
              <a:solidFill>
                <a:schemeClr val="tx1"/>
              </a:solidFill>
              <a:latin typeface="Arial Black" panose="020B0A04020102020204" pitchFamily="34" charset="0"/>
            </a:rPr>
            <a:t>Données</a:t>
          </a:r>
        </a:p>
      </xdr:txBody>
    </xdr:sp>
    <xdr:clientData/>
  </xdr:twoCellAnchor>
  <xdr:twoCellAnchor>
    <xdr:from>
      <xdr:col>6</xdr:col>
      <xdr:colOff>733425</xdr:colOff>
      <xdr:row>19</xdr:row>
      <xdr:rowOff>133350</xdr:rowOff>
    </xdr:from>
    <xdr:to>
      <xdr:col>8</xdr:col>
      <xdr:colOff>533400</xdr:colOff>
      <xdr:row>21</xdr:row>
      <xdr:rowOff>133350</xdr:rowOff>
    </xdr:to>
    <xdr:sp macro="[0]!vider1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8BF73D59-B44E-E5EB-B15A-D849B5F36211}"/>
            </a:ext>
          </a:extLst>
        </xdr:cNvPr>
        <xdr:cNvSpPr/>
      </xdr:nvSpPr>
      <xdr:spPr>
        <a:xfrm>
          <a:off x="5305425" y="3895725"/>
          <a:ext cx="1323975" cy="3810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latin typeface="Arial Black" panose="020B0A04020102020204" pitchFamily="34" charset="0"/>
            </a:rPr>
            <a:t>VIDER</a:t>
          </a:r>
        </a:p>
      </xdr:txBody>
    </xdr:sp>
    <xdr:clientData/>
  </xdr:twoCellAnchor>
  <xdr:twoCellAnchor>
    <xdr:from>
      <xdr:col>13</xdr:col>
      <xdr:colOff>219075</xdr:colOff>
      <xdr:row>17</xdr:row>
      <xdr:rowOff>47625</xdr:rowOff>
    </xdr:from>
    <xdr:to>
      <xdr:col>15</xdr:col>
      <xdr:colOff>257175</xdr:colOff>
      <xdr:row>19</xdr:row>
      <xdr:rowOff>104775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1588318B-ED21-9298-72E6-77306187EB60}"/>
            </a:ext>
          </a:extLst>
        </xdr:cNvPr>
        <xdr:cNvSpPr txBox="1"/>
      </xdr:nvSpPr>
      <xdr:spPr>
        <a:xfrm>
          <a:off x="9486900" y="3429000"/>
          <a:ext cx="156210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000" b="1">
              <a:solidFill>
                <a:schemeClr val="tx1"/>
              </a:solidFill>
              <a:latin typeface="Arial Black" panose="020B0A04020102020204" pitchFamily="34" charset="0"/>
            </a:rPr>
            <a:t>Bilan</a:t>
          </a:r>
        </a:p>
      </xdr:txBody>
    </xdr:sp>
    <xdr:clientData/>
  </xdr:twoCellAnchor>
  <xdr:twoCellAnchor>
    <xdr:from>
      <xdr:col>13</xdr:col>
      <xdr:colOff>0</xdr:colOff>
      <xdr:row>5</xdr:row>
      <xdr:rowOff>157162</xdr:rowOff>
    </xdr:from>
    <xdr:to>
      <xdr:col>14</xdr:col>
      <xdr:colOff>390525</xdr:colOff>
      <xdr:row>17</xdr:row>
      <xdr:rowOff>152400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F9872A40-B2D3-91AC-3122-881B4EFC8E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</xdr:colOff>
      <xdr:row>5</xdr:row>
      <xdr:rowOff>157163</xdr:rowOff>
    </xdr:from>
    <xdr:to>
      <xdr:col>15</xdr:col>
      <xdr:colOff>485775</xdr:colOff>
      <xdr:row>17</xdr:row>
      <xdr:rowOff>152400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14804E60-5E43-FE24-CD81-35C6DE6E87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84668</xdr:colOff>
      <xdr:row>9</xdr:row>
      <xdr:rowOff>85725</xdr:rowOff>
    </xdr:from>
    <xdr:to>
      <xdr:col>1</xdr:col>
      <xdr:colOff>704852</xdr:colOff>
      <xdr:row>12</xdr:row>
      <xdr:rowOff>180975</xdr:rowOff>
    </xdr:to>
    <xdr:sp macro="" textlink="">
      <xdr:nvSpPr>
        <xdr:cNvPr id="29" name="ZoneTexte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0A370EB-947A-0BB0-283C-EFE9C7AA66BC}"/>
            </a:ext>
          </a:extLst>
        </xdr:cNvPr>
        <xdr:cNvSpPr txBox="1"/>
      </xdr:nvSpPr>
      <xdr:spPr>
        <a:xfrm>
          <a:off x="84668" y="1853142"/>
          <a:ext cx="1382184" cy="719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  <a:latin typeface="Arial Black" panose="020B0A04020102020204" pitchFamily="34" charset="0"/>
            </a:rPr>
            <a:t>Ratios de structure II</a:t>
          </a:r>
        </a:p>
      </xdr:txBody>
    </xdr:sp>
    <xdr:clientData/>
  </xdr:twoCellAnchor>
  <xdr:twoCellAnchor>
    <xdr:from>
      <xdr:col>0</xdr:col>
      <xdr:colOff>95250</xdr:colOff>
      <xdr:row>12</xdr:row>
      <xdr:rowOff>211668</xdr:rowOff>
    </xdr:from>
    <xdr:to>
      <xdr:col>1</xdr:col>
      <xdr:colOff>704851</xdr:colOff>
      <xdr:row>16</xdr:row>
      <xdr:rowOff>111126</xdr:rowOff>
    </xdr:to>
    <xdr:sp macro="" textlink="">
      <xdr:nvSpPr>
        <xdr:cNvPr id="30" name="ZoneText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B03F2EE-BE9D-A6B6-E71F-07F7281A948B}"/>
            </a:ext>
          </a:extLst>
        </xdr:cNvPr>
        <xdr:cNvSpPr txBox="1"/>
      </xdr:nvSpPr>
      <xdr:spPr>
        <a:xfrm>
          <a:off x="95250" y="2603501"/>
          <a:ext cx="1371601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  <a:latin typeface="Arial Black" panose="020B0A04020102020204" pitchFamily="34" charset="0"/>
            </a:rPr>
            <a:t>Ratios de gestion</a:t>
          </a:r>
        </a:p>
      </xdr:txBody>
    </xdr:sp>
    <xdr:clientData/>
  </xdr:twoCellAnchor>
  <xdr:twoCellAnchor>
    <xdr:from>
      <xdr:col>0</xdr:col>
      <xdr:colOff>105833</xdr:colOff>
      <xdr:row>16</xdr:row>
      <xdr:rowOff>84670</xdr:rowOff>
    </xdr:from>
    <xdr:to>
      <xdr:col>1</xdr:col>
      <xdr:colOff>714376</xdr:colOff>
      <xdr:row>20</xdr:row>
      <xdr:rowOff>37045</xdr:rowOff>
    </xdr:to>
    <xdr:sp macro="" textlink="">
      <xdr:nvSpPr>
        <xdr:cNvPr id="31" name="ZoneTexte 3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A01400E-C7CA-C9D8-A88D-A127E3A82FE0}"/>
            </a:ext>
          </a:extLst>
        </xdr:cNvPr>
        <xdr:cNvSpPr txBox="1"/>
      </xdr:nvSpPr>
      <xdr:spPr>
        <a:xfrm>
          <a:off x="105833" y="3291420"/>
          <a:ext cx="1370543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  <a:latin typeface="Arial Black" panose="020B0A04020102020204" pitchFamily="34" charset="0"/>
            </a:rPr>
            <a:t>Ratios de rentabilité</a:t>
          </a:r>
        </a:p>
      </xdr:txBody>
    </xdr:sp>
    <xdr:clientData/>
  </xdr:twoCellAnchor>
  <xdr:twoCellAnchor>
    <xdr:from>
      <xdr:col>0</xdr:col>
      <xdr:colOff>28575</xdr:colOff>
      <xdr:row>5</xdr:row>
      <xdr:rowOff>172508</xdr:rowOff>
    </xdr:from>
    <xdr:to>
      <xdr:col>2</xdr:col>
      <xdr:colOff>76200</xdr:colOff>
      <xdr:row>9</xdr:row>
      <xdr:rowOff>48683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CA371E53-F374-42C6-8387-677F59E81C0E}"/>
            </a:ext>
          </a:extLst>
        </xdr:cNvPr>
        <xdr:cNvSpPr/>
      </xdr:nvSpPr>
      <xdr:spPr>
        <a:xfrm>
          <a:off x="28575" y="1125008"/>
          <a:ext cx="1571625" cy="691092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105833</xdr:colOff>
      <xdr:row>5</xdr:row>
      <xdr:rowOff>142875</xdr:rowOff>
    </xdr:from>
    <xdr:to>
      <xdr:col>1</xdr:col>
      <xdr:colOff>733426</xdr:colOff>
      <xdr:row>9</xdr:row>
      <xdr:rowOff>47625</xdr:rowOff>
    </xdr:to>
    <xdr:sp macro="" textlink="">
      <xdr:nvSpPr>
        <xdr:cNvPr id="9" name="ZoneTexte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115F72A-24C4-BE93-95B8-408C22FC8408}"/>
            </a:ext>
          </a:extLst>
        </xdr:cNvPr>
        <xdr:cNvSpPr txBox="1"/>
      </xdr:nvSpPr>
      <xdr:spPr>
        <a:xfrm>
          <a:off x="105833" y="1095375"/>
          <a:ext cx="1389593" cy="719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tx1"/>
              </a:solidFill>
              <a:latin typeface="Arial Black" panose="020B0A04020102020204" pitchFamily="34" charset="0"/>
            </a:rPr>
            <a:t>Ratios de structure 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76200</xdr:rowOff>
    </xdr:from>
    <xdr:to>
      <xdr:col>15</xdr:col>
      <xdr:colOff>352425</xdr:colOff>
      <xdr:row>22</xdr:row>
      <xdr:rowOff>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238D999C-0C35-4B5C-ADBC-9DAF34D8829E}"/>
            </a:ext>
          </a:extLst>
        </xdr:cNvPr>
        <xdr:cNvGrpSpPr/>
      </xdr:nvGrpSpPr>
      <xdr:grpSpPr>
        <a:xfrm>
          <a:off x="47625" y="76200"/>
          <a:ext cx="11099800" cy="4273550"/>
          <a:chOff x="47625" y="76200"/>
          <a:chExt cx="11809448" cy="4097612"/>
        </a:xfrm>
      </xdr:grpSpPr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3558F3A4-045D-63FB-7B83-3090C7C9919A}"/>
              </a:ext>
            </a:extLst>
          </xdr:cNvPr>
          <xdr:cNvSpPr/>
        </xdr:nvSpPr>
        <xdr:spPr>
          <a:xfrm>
            <a:off x="47625" y="76200"/>
            <a:ext cx="1638300" cy="409761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D89106FF-C0E3-0435-E809-18D0D36CFCB2}"/>
              </a:ext>
            </a:extLst>
          </xdr:cNvPr>
          <xdr:cNvSpPr/>
        </xdr:nvSpPr>
        <xdr:spPr>
          <a:xfrm>
            <a:off x="1552574" y="76200"/>
            <a:ext cx="10304499" cy="1000125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oneCell">
    <xdr:from>
      <xdr:col>0</xdr:col>
      <xdr:colOff>409575</xdr:colOff>
      <xdr:row>0</xdr:row>
      <xdr:rowOff>161925</xdr:rowOff>
    </xdr:from>
    <xdr:to>
      <xdr:col>1</xdr:col>
      <xdr:colOff>504825</xdr:colOff>
      <xdr:row>5</xdr:row>
      <xdr:rowOff>33101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BA6127E3-E9AF-4F43-8BEA-301C841E6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161925"/>
          <a:ext cx="857250" cy="823676"/>
        </a:xfrm>
        <a:prstGeom prst="rect">
          <a:avLst/>
        </a:prstGeom>
      </xdr:spPr>
    </xdr:pic>
    <xdr:clientData/>
  </xdr:twoCellAnchor>
  <xdr:twoCellAnchor>
    <xdr:from>
      <xdr:col>2</xdr:col>
      <xdr:colOff>47623</xdr:colOff>
      <xdr:row>1</xdr:row>
      <xdr:rowOff>38100</xdr:rowOff>
    </xdr:from>
    <xdr:to>
      <xdr:col>13</xdr:col>
      <xdr:colOff>533399</xdr:colOff>
      <xdr:row>4</xdr:row>
      <xdr:rowOff>38100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A8C41852-5697-4C15-B108-44D4BE6847BA}"/>
            </a:ext>
          </a:extLst>
        </xdr:cNvPr>
        <xdr:cNvSpPr txBox="1"/>
      </xdr:nvSpPr>
      <xdr:spPr>
        <a:xfrm>
          <a:off x="1571623" y="228600"/>
          <a:ext cx="822960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 b="1">
              <a:solidFill>
                <a:schemeClr val="bg1"/>
              </a:solidFill>
              <a:latin typeface="Arial Black" panose="020B0A04020102020204" pitchFamily="34" charset="0"/>
            </a:rPr>
            <a:t>ANALYSE FINANCIERE PAR LES</a:t>
          </a:r>
          <a:r>
            <a:rPr lang="fr-FR" sz="2800" b="1" baseline="0">
              <a:solidFill>
                <a:schemeClr val="bg1"/>
              </a:solidFill>
              <a:latin typeface="Arial Black" panose="020B0A04020102020204" pitchFamily="34" charset="0"/>
            </a:rPr>
            <a:t> RATIOS</a:t>
          </a:r>
          <a:endParaRPr lang="fr-FR" sz="28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95250</xdr:colOff>
      <xdr:row>12</xdr:row>
      <xdr:rowOff>211668</xdr:rowOff>
    </xdr:from>
    <xdr:to>
      <xdr:col>1</xdr:col>
      <xdr:colOff>704851</xdr:colOff>
      <xdr:row>16</xdr:row>
      <xdr:rowOff>111126</xdr:rowOff>
    </xdr:to>
    <xdr:sp macro="" textlink="">
      <xdr:nvSpPr>
        <xdr:cNvPr id="28" name="ZoneTexte 2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A39DC33-FBFD-4F88-AA0F-1AC2736A6072}"/>
            </a:ext>
          </a:extLst>
        </xdr:cNvPr>
        <xdr:cNvSpPr txBox="1"/>
      </xdr:nvSpPr>
      <xdr:spPr>
        <a:xfrm>
          <a:off x="95250" y="2603501"/>
          <a:ext cx="1371601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  <a:latin typeface="Arial Black" panose="020B0A04020102020204" pitchFamily="34" charset="0"/>
            </a:rPr>
            <a:t>Ratios de gestion</a:t>
          </a:r>
        </a:p>
      </xdr:txBody>
    </xdr:sp>
    <xdr:clientData/>
  </xdr:twoCellAnchor>
  <xdr:twoCellAnchor>
    <xdr:from>
      <xdr:col>0</xdr:col>
      <xdr:colOff>105833</xdr:colOff>
      <xdr:row>16</xdr:row>
      <xdr:rowOff>84670</xdr:rowOff>
    </xdr:from>
    <xdr:to>
      <xdr:col>1</xdr:col>
      <xdr:colOff>714376</xdr:colOff>
      <xdr:row>20</xdr:row>
      <xdr:rowOff>37045</xdr:rowOff>
    </xdr:to>
    <xdr:sp macro="" textlink="">
      <xdr:nvSpPr>
        <xdr:cNvPr id="29" name="ZoneTexte 2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B87C094-B5F0-448B-BA3D-76AB2D9F66F0}"/>
            </a:ext>
          </a:extLst>
        </xdr:cNvPr>
        <xdr:cNvSpPr txBox="1"/>
      </xdr:nvSpPr>
      <xdr:spPr>
        <a:xfrm>
          <a:off x="105833" y="3291420"/>
          <a:ext cx="1370543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  <a:latin typeface="Arial Black" panose="020B0A04020102020204" pitchFamily="34" charset="0"/>
            </a:rPr>
            <a:t>Ratios de rentabilité</a:t>
          </a:r>
        </a:p>
      </xdr:txBody>
    </xdr:sp>
    <xdr:clientData/>
  </xdr:twoCellAnchor>
  <xdr:twoCellAnchor>
    <xdr:from>
      <xdr:col>0</xdr:col>
      <xdr:colOff>105833</xdr:colOff>
      <xdr:row>5</xdr:row>
      <xdr:rowOff>142875</xdr:rowOff>
    </xdr:from>
    <xdr:to>
      <xdr:col>1</xdr:col>
      <xdr:colOff>733426</xdr:colOff>
      <xdr:row>9</xdr:row>
      <xdr:rowOff>47625</xdr:rowOff>
    </xdr:to>
    <xdr:sp macro="" textlink="">
      <xdr:nvSpPr>
        <xdr:cNvPr id="31" name="ZoneTexte 3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C6B1841-E4E4-4BAF-A1A0-1990BE6B3F42}"/>
            </a:ext>
          </a:extLst>
        </xdr:cNvPr>
        <xdr:cNvSpPr txBox="1"/>
      </xdr:nvSpPr>
      <xdr:spPr>
        <a:xfrm>
          <a:off x="105833" y="1095375"/>
          <a:ext cx="1389593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  <a:latin typeface="Arial Black" panose="020B0A04020102020204" pitchFamily="34" charset="0"/>
            </a:rPr>
            <a:t>Ratios de structure I</a:t>
          </a:r>
        </a:p>
      </xdr:txBody>
    </xdr:sp>
    <xdr:clientData/>
  </xdr:twoCellAnchor>
  <xdr:twoCellAnchor>
    <xdr:from>
      <xdr:col>0</xdr:col>
      <xdr:colOff>11642</xdr:colOff>
      <xdr:row>9</xdr:row>
      <xdr:rowOff>49742</xdr:rowOff>
    </xdr:from>
    <xdr:to>
      <xdr:col>2</xdr:col>
      <xdr:colOff>59267</xdr:colOff>
      <xdr:row>12</xdr:row>
      <xdr:rowOff>116418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32D67660-6910-7EF4-0748-1D44196F7863}"/>
            </a:ext>
          </a:extLst>
        </xdr:cNvPr>
        <xdr:cNvSpPr/>
      </xdr:nvSpPr>
      <xdr:spPr>
        <a:xfrm>
          <a:off x="11642" y="1817159"/>
          <a:ext cx="1571625" cy="691092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84668</xdr:colOff>
      <xdr:row>9</xdr:row>
      <xdr:rowOff>85725</xdr:rowOff>
    </xdr:from>
    <xdr:to>
      <xdr:col>1</xdr:col>
      <xdr:colOff>704852</xdr:colOff>
      <xdr:row>12</xdr:row>
      <xdr:rowOff>180975</xdr:rowOff>
    </xdr:to>
    <xdr:sp macro="" textlink="">
      <xdr:nvSpPr>
        <xdr:cNvPr id="27" name="ZoneTexte 2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22033CB-8A7D-412C-9D41-359D4C637C30}"/>
            </a:ext>
          </a:extLst>
        </xdr:cNvPr>
        <xdr:cNvSpPr txBox="1"/>
      </xdr:nvSpPr>
      <xdr:spPr>
        <a:xfrm>
          <a:off x="84668" y="1847850"/>
          <a:ext cx="1382184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tx1"/>
              </a:solidFill>
              <a:latin typeface="Arial Black" panose="020B0A04020102020204" pitchFamily="34" charset="0"/>
            </a:rPr>
            <a:t>Ratios de structure II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76200</xdr:rowOff>
    </xdr:from>
    <xdr:to>
      <xdr:col>15</xdr:col>
      <xdr:colOff>352425</xdr:colOff>
      <xdr:row>22</xdr:row>
      <xdr:rowOff>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17B64D99-4972-44F1-BF78-D8D49E788974}"/>
            </a:ext>
          </a:extLst>
        </xdr:cNvPr>
        <xdr:cNvGrpSpPr/>
      </xdr:nvGrpSpPr>
      <xdr:grpSpPr>
        <a:xfrm>
          <a:off x="47625" y="76200"/>
          <a:ext cx="11099800" cy="4273550"/>
          <a:chOff x="47625" y="76200"/>
          <a:chExt cx="11809448" cy="409761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CBD9524C-42EA-DC2F-F613-349CDF98E6AD}"/>
              </a:ext>
            </a:extLst>
          </xdr:cNvPr>
          <xdr:cNvSpPr/>
        </xdr:nvSpPr>
        <xdr:spPr>
          <a:xfrm>
            <a:off x="47625" y="76200"/>
            <a:ext cx="1638300" cy="409761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A90248CD-8685-D780-B1A4-CF4AE35D8D1D}"/>
              </a:ext>
            </a:extLst>
          </xdr:cNvPr>
          <xdr:cNvSpPr/>
        </xdr:nvSpPr>
        <xdr:spPr>
          <a:xfrm>
            <a:off x="1552574" y="76200"/>
            <a:ext cx="10304499" cy="1000125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oneCell">
    <xdr:from>
      <xdr:col>0</xdr:col>
      <xdr:colOff>409575</xdr:colOff>
      <xdr:row>0</xdr:row>
      <xdr:rowOff>161925</xdr:rowOff>
    </xdr:from>
    <xdr:to>
      <xdr:col>1</xdr:col>
      <xdr:colOff>504825</xdr:colOff>
      <xdr:row>5</xdr:row>
      <xdr:rowOff>33101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91AD0F-4E89-4938-A2B0-27F9BAC30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161925"/>
          <a:ext cx="857250" cy="823676"/>
        </a:xfrm>
        <a:prstGeom prst="rect">
          <a:avLst/>
        </a:prstGeom>
      </xdr:spPr>
    </xdr:pic>
    <xdr:clientData/>
  </xdr:twoCellAnchor>
  <xdr:twoCellAnchor>
    <xdr:from>
      <xdr:col>2</xdr:col>
      <xdr:colOff>47623</xdr:colOff>
      <xdr:row>1</xdr:row>
      <xdr:rowOff>38100</xdr:rowOff>
    </xdr:from>
    <xdr:to>
      <xdr:col>13</xdr:col>
      <xdr:colOff>533399</xdr:colOff>
      <xdr:row>4</xdr:row>
      <xdr:rowOff>38100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F781E328-6C74-4777-8504-AF5533F5B674}"/>
            </a:ext>
          </a:extLst>
        </xdr:cNvPr>
        <xdr:cNvSpPr txBox="1"/>
      </xdr:nvSpPr>
      <xdr:spPr>
        <a:xfrm>
          <a:off x="1571623" y="228600"/>
          <a:ext cx="822960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 b="1">
              <a:solidFill>
                <a:schemeClr val="bg1"/>
              </a:solidFill>
              <a:latin typeface="Arial Black" panose="020B0A04020102020204" pitchFamily="34" charset="0"/>
            </a:rPr>
            <a:t>ANALYSE FINANCIERE PAR LES</a:t>
          </a:r>
          <a:r>
            <a:rPr lang="fr-FR" sz="2800" b="1" baseline="0">
              <a:solidFill>
                <a:schemeClr val="bg1"/>
              </a:solidFill>
              <a:latin typeface="Arial Black" panose="020B0A04020102020204" pitchFamily="34" charset="0"/>
            </a:rPr>
            <a:t> RATIOS</a:t>
          </a:r>
          <a:endParaRPr lang="fr-FR" sz="28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84668</xdr:colOff>
      <xdr:row>9</xdr:row>
      <xdr:rowOff>85725</xdr:rowOff>
    </xdr:from>
    <xdr:to>
      <xdr:col>1</xdr:col>
      <xdr:colOff>704852</xdr:colOff>
      <xdr:row>12</xdr:row>
      <xdr:rowOff>180975</xdr:rowOff>
    </xdr:to>
    <xdr:sp macro="" textlink="">
      <xdr:nvSpPr>
        <xdr:cNvPr id="12" name="ZoneTexte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993999-F9B9-4DE9-81C7-2179D8BDD937}"/>
            </a:ext>
          </a:extLst>
        </xdr:cNvPr>
        <xdr:cNvSpPr txBox="1"/>
      </xdr:nvSpPr>
      <xdr:spPr>
        <a:xfrm>
          <a:off x="84668" y="1847850"/>
          <a:ext cx="1382184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  <a:latin typeface="Arial Black" panose="020B0A04020102020204" pitchFamily="34" charset="0"/>
            </a:rPr>
            <a:t>Ratios de structure II</a:t>
          </a:r>
        </a:p>
      </xdr:txBody>
    </xdr:sp>
    <xdr:clientData/>
  </xdr:twoCellAnchor>
  <xdr:twoCellAnchor>
    <xdr:from>
      <xdr:col>0</xdr:col>
      <xdr:colOff>105833</xdr:colOff>
      <xdr:row>16</xdr:row>
      <xdr:rowOff>84670</xdr:rowOff>
    </xdr:from>
    <xdr:to>
      <xdr:col>1</xdr:col>
      <xdr:colOff>714376</xdr:colOff>
      <xdr:row>20</xdr:row>
      <xdr:rowOff>37045</xdr:rowOff>
    </xdr:to>
    <xdr:sp macro="" textlink="">
      <xdr:nvSpPr>
        <xdr:cNvPr id="14" name="ZoneTexte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61E8EDF-C011-4F3A-893A-D5C331851191}"/>
            </a:ext>
          </a:extLst>
        </xdr:cNvPr>
        <xdr:cNvSpPr txBox="1"/>
      </xdr:nvSpPr>
      <xdr:spPr>
        <a:xfrm>
          <a:off x="105833" y="3291420"/>
          <a:ext cx="1370543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  <a:latin typeface="Arial Black" panose="020B0A04020102020204" pitchFamily="34" charset="0"/>
            </a:rPr>
            <a:t>Ratios de rentabilité</a:t>
          </a:r>
        </a:p>
      </xdr:txBody>
    </xdr:sp>
    <xdr:clientData/>
  </xdr:twoCellAnchor>
  <xdr:twoCellAnchor>
    <xdr:from>
      <xdr:col>0</xdr:col>
      <xdr:colOff>105833</xdr:colOff>
      <xdr:row>5</xdr:row>
      <xdr:rowOff>142875</xdr:rowOff>
    </xdr:from>
    <xdr:to>
      <xdr:col>1</xdr:col>
      <xdr:colOff>733426</xdr:colOff>
      <xdr:row>9</xdr:row>
      <xdr:rowOff>47625</xdr:rowOff>
    </xdr:to>
    <xdr:sp macro="" textlink="">
      <xdr:nvSpPr>
        <xdr:cNvPr id="16" name="ZoneTexte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FC43196-AF78-4D48-A9B2-33AA9929FA2B}"/>
            </a:ext>
          </a:extLst>
        </xdr:cNvPr>
        <xdr:cNvSpPr txBox="1"/>
      </xdr:nvSpPr>
      <xdr:spPr>
        <a:xfrm>
          <a:off x="105833" y="1095375"/>
          <a:ext cx="1389593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  <a:latin typeface="Arial Black" panose="020B0A04020102020204" pitchFamily="34" charset="0"/>
            </a:rPr>
            <a:t>Ratios de structure I</a:t>
          </a:r>
        </a:p>
      </xdr:txBody>
    </xdr:sp>
    <xdr:clientData/>
  </xdr:twoCellAnchor>
  <xdr:twoCellAnchor>
    <xdr:from>
      <xdr:col>0</xdr:col>
      <xdr:colOff>21166</xdr:colOff>
      <xdr:row>12</xdr:row>
      <xdr:rowOff>115358</xdr:rowOff>
    </xdr:from>
    <xdr:to>
      <xdr:col>2</xdr:col>
      <xdr:colOff>68791</xdr:colOff>
      <xdr:row>15</xdr:row>
      <xdr:rowOff>182033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64C27986-D73E-82BB-6E65-5081AEEA0BA5}"/>
            </a:ext>
          </a:extLst>
        </xdr:cNvPr>
        <xdr:cNvSpPr/>
      </xdr:nvSpPr>
      <xdr:spPr>
        <a:xfrm>
          <a:off x="21166" y="2507191"/>
          <a:ext cx="1571625" cy="691092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95250</xdr:colOff>
      <xdr:row>12</xdr:row>
      <xdr:rowOff>211668</xdr:rowOff>
    </xdr:from>
    <xdr:to>
      <xdr:col>1</xdr:col>
      <xdr:colOff>704851</xdr:colOff>
      <xdr:row>16</xdr:row>
      <xdr:rowOff>111126</xdr:rowOff>
    </xdr:to>
    <xdr:sp macro="" textlink="">
      <xdr:nvSpPr>
        <xdr:cNvPr id="13" name="ZoneTexte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426AF0D-1F12-4994-80EF-3630391EE6B3}"/>
            </a:ext>
          </a:extLst>
        </xdr:cNvPr>
        <xdr:cNvSpPr txBox="1"/>
      </xdr:nvSpPr>
      <xdr:spPr>
        <a:xfrm>
          <a:off x="95250" y="2603501"/>
          <a:ext cx="1371601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tx1"/>
              </a:solidFill>
              <a:latin typeface="Arial Black" panose="020B0A04020102020204" pitchFamily="34" charset="0"/>
            </a:rPr>
            <a:t>Ratios de gestion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76200</xdr:rowOff>
    </xdr:from>
    <xdr:to>
      <xdr:col>15</xdr:col>
      <xdr:colOff>352425</xdr:colOff>
      <xdr:row>22</xdr:row>
      <xdr:rowOff>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47834014-FD28-46BC-B057-5C5EFC26F232}"/>
            </a:ext>
          </a:extLst>
        </xdr:cNvPr>
        <xdr:cNvGrpSpPr/>
      </xdr:nvGrpSpPr>
      <xdr:grpSpPr>
        <a:xfrm>
          <a:off x="47625" y="76200"/>
          <a:ext cx="11099800" cy="4273550"/>
          <a:chOff x="47625" y="76200"/>
          <a:chExt cx="11809448" cy="409761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8C1336F-D0E4-DE35-C1A8-69081C5AE3FF}"/>
              </a:ext>
            </a:extLst>
          </xdr:cNvPr>
          <xdr:cNvSpPr/>
        </xdr:nvSpPr>
        <xdr:spPr>
          <a:xfrm>
            <a:off x="47625" y="76200"/>
            <a:ext cx="1638300" cy="409761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A0BF2C1C-C80E-EAB1-BA1B-8551091D5768}"/>
              </a:ext>
            </a:extLst>
          </xdr:cNvPr>
          <xdr:cNvSpPr/>
        </xdr:nvSpPr>
        <xdr:spPr>
          <a:xfrm>
            <a:off x="1552574" y="76200"/>
            <a:ext cx="10304499" cy="1000125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oneCell">
    <xdr:from>
      <xdr:col>0</xdr:col>
      <xdr:colOff>409575</xdr:colOff>
      <xdr:row>0</xdr:row>
      <xdr:rowOff>161925</xdr:rowOff>
    </xdr:from>
    <xdr:to>
      <xdr:col>1</xdr:col>
      <xdr:colOff>504825</xdr:colOff>
      <xdr:row>5</xdr:row>
      <xdr:rowOff>33101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D691D1F5-4E3A-47D4-8CB8-745762B9B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161925"/>
          <a:ext cx="857250" cy="823676"/>
        </a:xfrm>
        <a:prstGeom prst="rect">
          <a:avLst/>
        </a:prstGeom>
      </xdr:spPr>
    </xdr:pic>
    <xdr:clientData/>
  </xdr:twoCellAnchor>
  <xdr:twoCellAnchor>
    <xdr:from>
      <xdr:col>2</xdr:col>
      <xdr:colOff>47623</xdr:colOff>
      <xdr:row>1</xdr:row>
      <xdr:rowOff>38100</xdr:rowOff>
    </xdr:from>
    <xdr:to>
      <xdr:col>13</xdr:col>
      <xdr:colOff>533399</xdr:colOff>
      <xdr:row>4</xdr:row>
      <xdr:rowOff>38100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5B24F29D-A4A3-4997-BF5D-D6D6D8E05C33}"/>
            </a:ext>
          </a:extLst>
        </xdr:cNvPr>
        <xdr:cNvSpPr txBox="1"/>
      </xdr:nvSpPr>
      <xdr:spPr>
        <a:xfrm>
          <a:off x="1571623" y="228600"/>
          <a:ext cx="822960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 b="1">
              <a:solidFill>
                <a:schemeClr val="bg1"/>
              </a:solidFill>
              <a:latin typeface="Arial Black" panose="020B0A04020102020204" pitchFamily="34" charset="0"/>
            </a:rPr>
            <a:t>ANALYSE FINANCIERE PAR LES</a:t>
          </a:r>
          <a:r>
            <a:rPr lang="fr-FR" sz="2800" b="1" baseline="0">
              <a:solidFill>
                <a:schemeClr val="bg1"/>
              </a:solidFill>
              <a:latin typeface="Arial Black" panose="020B0A04020102020204" pitchFamily="34" charset="0"/>
            </a:rPr>
            <a:t> RATIOS</a:t>
          </a:r>
          <a:endParaRPr lang="fr-FR" sz="28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84668</xdr:colOff>
      <xdr:row>9</xdr:row>
      <xdr:rowOff>85725</xdr:rowOff>
    </xdr:from>
    <xdr:to>
      <xdr:col>1</xdr:col>
      <xdr:colOff>704852</xdr:colOff>
      <xdr:row>12</xdr:row>
      <xdr:rowOff>180975</xdr:rowOff>
    </xdr:to>
    <xdr:sp macro="" textlink="">
      <xdr:nvSpPr>
        <xdr:cNvPr id="12" name="ZoneTexte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ED4DEAA-EE58-4988-8BE5-DA88440951BB}"/>
            </a:ext>
          </a:extLst>
        </xdr:cNvPr>
        <xdr:cNvSpPr txBox="1"/>
      </xdr:nvSpPr>
      <xdr:spPr>
        <a:xfrm>
          <a:off x="84668" y="1847850"/>
          <a:ext cx="1382184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  <a:latin typeface="Arial Black" panose="020B0A04020102020204" pitchFamily="34" charset="0"/>
            </a:rPr>
            <a:t>Ratios de structure II</a:t>
          </a:r>
        </a:p>
      </xdr:txBody>
    </xdr:sp>
    <xdr:clientData/>
  </xdr:twoCellAnchor>
  <xdr:twoCellAnchor>
    <xdr:from>
      <xdr:col>0</xdr:col>
      <xdr:colOff>95250</xdr:colOff>
      <xdr:row>13</xdr:row>
      <xdr:rowOff>0</xdr:rowOff>
    </xdr:from>
    <xdr:to>
      <xdr:col>1</xdr:col>
      <xdr:colOff>704851</xdr:colOff>
      <xdr:row>16</xdr:row>
      <xdr:rowOff>142875</xdr:rowOff>
    </xdr:to>
    <xdr:sp macro="" textlink="">
      <xdr:nvSpPr>
        <xdr:cNvPr id="13" name="ZoneTexte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ABDEC3F-8EC7-404F-B98F-84DB760E56E7}"/>
            </a:ext>
          </a:extLst>
        </xdr:cNvPr>
        <xdr:cNvSpPr txBox="1"/>
      </xdr:nvSpPr>
      <xdr:spPr>
        <a:xfrm>
          <a:off x="95250" y="2619375"/>
          <a:ext cx="1371601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  <a:latin typeface="Arial Black" panose="020B0A04020102020204" pitchFamily="34" charset="0"/>
            </a:rPr>
            <a:t>Ratios de gestion</a:t>
          </a:r>
        </a:p>
      </xdr:txBody>
    </xdr:sp>
    <xdr:clientData/>
  </xdr:twoCellAnchor>
  <xdr:twoCellAnchor>
    <xdr:from>
      <xdr:col>0</xdr:col>
      <xdr:colOff>105833</xdr:colOff>
      <xdr:row>5</xdr:row>
      <xdr:rowOff>142875</xdr:rowOff>
    </xdr:from>
    <xdr:to>
      <xdr:col>1</xdr:col>
      <xdr:colOff>733426</xdr:colOff>
      <xdr:row>9</xdr:row>
      <xdr:rowOff>47625</xdr:rowOff>
    </xdr:to>
    <xdr:sp macro="" textlink="">
      <xdr:nvSpPr>
        <xdr:cNvPr id="16" name="ZoneTexte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2F96DDE-9D61-410D-AC8C-2209ADBB1EC4}"/>
            </a:ext>
          </a:extLst>
        </xdr:cNvPr>
        <xdr:cNvSpPr txBox="1"/>
      </xdr:nvSpPr>
      <xdr:spPr>
        <a:xfrm>
          <a:off x="105833" y="1095375"/>
          <a:ext cx="1389593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bg1"/>
              </a:solidFill>
              <a:latin typeface="Arial Black" panose="020B0A04020102020204" pitchFamily="34" charset="0"/>
            </a:rPr>
            <a:t>Ratios de structure I</a:t>
          </a:r>
        </a:p>
      </xdr:txBody>
    </xdr:sp>
    <xdr:clientData/>
  </xdr:twoCellAnchor>
  <xdr:twoCellAnchor>
    <xdr:from>
      <xdr:col>0</xdr:col>
      <xdr:colOff>11642</xdr:colOff>
      <xdr:row>16</xdr:row>
      <xdr:rowOff>60322</xdr:rowOff>
    </xdr:from>
    <xdr:to>
      <xdr:col>2</xdr:col>
      <xdr:colOff>59267</xdr:colOff>
      <xdr:row>19</xdr:row>
      <xdr:rowOff>179914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B196581D-DC95-010D-865C-CD4829FFA003}"/>
            </a:ext>
          </a:extLst>
        </xdr:cNvPr>
        <xdr:cNvSpPr/>
      </xdr:nvSpPr>
      <xdr:spPr>
        <a:xfrm>
          <a:off x="11642" y="3267072"/>
          <a:ext cx="1571625" cy="691092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105833</xdr:colOff>
      <xdr:row>16</xdr:row>
      <xdr:rowOff>105836</xdr:rowOff>
    </xdr:from>
    <xdr:to>
      <xdr:col>1</xdr:col>
      <xdr:colOff>714376</xdr:colOff>
      <xdr:row>20</xdr:row>
      <xdr:rowOff>58211</xdr:rowOff>
    </xdr:to>
    <xdr:sp macro="" textlink="">
      <xdr:nvSpPr>
        <xdr:cNvPr id="14" name="ZoneTexte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4223C0C-CE7E-4073-AA88-CF452C7F7E15}"/>
            </a:ext>
          </a:extLst>
        </xdr:cNvPr>
        <xdr:cNvSpPr txBox="1"/>
      </xdr:nvSpPr>
      <xdr:spPr>
        <a:xfrm>
          <a:off x="105833" y="3312586"/>
          <a:ext cx="1370543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>
              <a:solidFill>
                <a:schemeClr val="tx1"/>
              </a:solidFill>
              <a:latin typeface="Arial Black" panose="020B0A04020102020204" pitchFamily="34" charset="0"/>
            </a:rPr>
            <a:t>Ratios de rentabilité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AE345-F46C-44B9-9119-6FFD1DD11614}">
  <dimension ref="C9:L33"/>
  <sheetViews>
    <sheetView showGridLines="0" tabSelected="1" zoomScale="90" zoomScaleNormal="90" workbookViewId="0">
      <selection activeCell="Q11" sqref="Q11"/>
    </sheetView>
  </sheetViews>
  <sheetFormatPr baseColWidth="10" defaultRowHeight="15" x14ac:dyDescent="0.25"/>
  <cols>
    <col min="1" max="10" width="11.42578125" style="1"/>
    <col min="11" max="11" width="1.85546875" style="1" customWidth="1"/>
    <col min="12" max="16384" width="11.42578125" style="1"/>
  </cols>
  <sheetData>
    <row r="9" spans="4:12" ht="18.75" x14ac:dyDescent="0.3">
      <c r="H9" s="4" t="s">
        <v>10</v>
      </c>
      <c r="L9" s="3">
        <f>IF(D31&lt;&gt;"Bilan non équilibré",D31,"")</f>
        <v>25</v>
      </c>
    </row>
    <row r="10" spans="4:12" x14ac:dyDescent="0.25">
      <c r="D10" s="1" t="s">
        <v>0</v>
      </c>
      <c r="F10" s="2">
        <v>35</v>
      </c>
    </row>
    <row r="11" spans="4:12" ht="18.75" x14ac:dyDescent="0.3">
      <c r="H11" s="4" t="s">
        <v>11</v>
      </c>
      <c r="L11" s="3">
        <f>IF(D32&lt;&gt;"Bilan non équilibré",D32,"")</f>
        <v>10</v>
      </c>
    </row>
    <row r="12" spans="4:12" x14ac:dyDescent="0.25">
      <c r="D12" s="1" t="s">
        <v>1</v>
      </c>
      <c r="F12" s="2">
        <v>50</v>
      </c>
    </row>
    <row r="13" spans="4:12" ht="18.75" x14ac:dyDescent="0.3">
      <c r="F13" s="3"/>
      <c r="H13" s="4" t="s">
        <v>12</v>
      </c>
      <c r="L13" s="3">
        <f>IF(D33&lt;&gt;"Bilan non équilibré",D33,"")</f>
        <v>15</v>
      </c>
    </row>
    <row r="14" spans="4:12" x14ac:dyDescent="0.25">
      <c r="D14" s="1" t="s">
        <v>13</v>
      </c>
      <c r="F14" s="2">
        <v>30</v>
      </c>
    </row>
    <row r="16" spans="4:12" x14ac:dyDescent="0.25">
      <c r="D16" s="1" t="s">
        <v>2</v>
      </c>
      <c r="F16" s="2">
        <v>60</v>
      </c>
      <c r="H16" s="6" t="str">
        <f>IF(D28="Bilan non équilibré","Votre bilan n'est pas équilibré","")</f>
        <v/>
      </c>
    </row>
    <row r="17" spans="3:12" x14ac:dyDescent="0.25">
      <c r="H17" s="1" t="str">
        <f>IF(AND(H16&lt;&gt;"Votre bilan n'est pas équilibré",L9&lt;&gt;0),IF(L9&gt;=0,"Vos ressources à long terme peuvent financer votre actif durable","La situation financière de votre entreprise est en danger"),"")</f>
        <v>Vos ressources à long terme peuvent financer votre actif durable</v>
      </c>
    </row>
    <row r="18" spans="3:12" x14ac:dyDescent="0.25">
      <c r="D18" s="1" t="s">
        <v>3</v>
      </c>
      <c r="F18" s="2">
        <v>40</v>
      </c>
      <c r="H18" s="1" t="str">
        <f>IF(AND(H16&lt;&gt;"Votre bilan n'est pas équilibré",L11&lt;&gt;0),IF(L11&lt;0,"Vous n'avez pas besoin de fonds pour tourner votre activité","Vous avez besoin de financement pour faire fonctionner votre entreprise"),"")</f>
        <v>Vous avez besoin de financement pour faire fonctionner votre entreprise</v>
      </c>
    </row>
    <row r="19" spans="3:12" x14ac:dyDescent="0.25">
      <c r="H19" s="1" t="str">
        <f>IF(AND(H16&lt;&gt;"Votre bilan n'est pas équilibré",L13&lt;&gt;0),IF(L13&gt;=0,"Vous pouvez vous financer pour tourner votre activité","Vous devez recourir à l'emprunt pour tourner votre activité"),"")</f>
        <v>Vous pouvez vous financer pour tourner votre activité</v>
      </c>
    </row>
    <row r="20" spans="3:12" x14ac:dyDescent="0.25">
      <c r="D20" s="1" t="s">
        <v>14</v>
      </c>
      <c r="F20" s="2">
        <v>15</v>
      </c>
    </row>
    <row r="28" spans="3:12" x14ac:dyDescent="0.25">
      <c r="C28" s="5" t="s">
        <v>4</v>
      </c>
      <c r="D28" s="5">
        <f>IF(D29=D30,D29+D30,"Bilan non équilibré")</f>
        <v>230</v>
      </c>
    </row>
    <row r="29" spans="3:12" x14ac:dyDescent="0.25">
      <c r="C29" s="5" t="s">
        <v>5</v>
      </c>
      <c r="D29" s="5">
        <f>F10+F12+F14</f>
        <v>115</v>
      </c>
    </row>
    <row r="30" spans="3:12" x14ac:dyDescent="0.25">
      <c r="C30" s="5" t="s">
        <v>6</v>
      </c>
      <c r="D30" s="5">
        <f>F16+F18+F20</f>
        <v>115</v>
      </c>
      <c r="L30" s="3"/>
    </row>
    <row r="31" spans="3:12" x14ac:dyDescent="0.25">
      <c r="C31" s="5" t="s">
        <v>7</v>
      </c>
      <c r="D31" s="5">
        <f>IF(D28&lt;&gt;"Bilan non équilibré",F16-F10,"Bilan non équilibré")</f>
        <v>25</v>
      </c>
    </row>
    <row r="32" spans="3:12" x14ac:dyDescent="0.25">
      <c r="C32" s="5" t="s">
        <v>8</v>
      </c>
      <c r="D32" s="5">
        <f>IF(D28&lt;&gt;"Bilan non équilibré",F12-F18,"Bilan non équilibré")</f>
        <v>10</v>
      </c>
    </row>
    <row r="33" spans="3:4" x14ac:dyDescent="0.25">
      <c r="C33" s="5" t="s">
        <v>9</v>
      </c>
      <c r="D33" s="5">
        <f>IF(D28&lt;&gt;"Bilan non équilibré",D31-D32,"Bilan non équilibré")</f>
        <v>15</v>
      </c>
    </row>
  </sheetData>
  <conditionalFormatting sqref="L9">
    <cfRule type="expression" dxfId="23" priority="6">
      <formula>AND($L$9&lt;0,$L$9&lt;&gt;"")</formula>
    </cfRule>
    <cfRule type="expression" dxfId="22" priority="7">
      <formula>AND($L$9&gt;0,$L$9&lt;&gt;"")</formula>
    </cfRule>
  </conditionalFormatting>
  <conditionalFormatting sqref="L11">
    <cfRule type="expression" dxfId="21" priority="4">
      <formula>AND($L$11&gt;0,$L$11&lt;&gt;"")</formula>
    </cfRule>
    <cfRule type="expression" dxfId="20" priority="5">
      <formula>AND($L$11&lt;0,$L$11&lt;&gt;"")</formula>
    </cfRule>
  </conditionalFormatting>
  <conditionalFormatting sqref="L13">
    <cfRule type="expression" dxfId="19" priority="2">
      <formula>AND($L$13&lt;0,$L$13&lt;&gt;"")</formula>
    </cfRule>
    <cfRule type="expression" dxfId="18" priority="3">
      <formula>AND($L$13&gt;0,$L$13&lt;&gt;"")</formula>
    </cfRule>
  </conditionalFormatting>
  <dataValidations xWindow="420" yWindow="430" count="6">
    <dataValidation type="decimal" errorStyle="information" operator="greaterThan" allowBlank="1" showErrorMessage="1" errorTitle="Non négativité" error="Veuillez entrer un chiffre qui ne soit pas négatif" promptTitle="Actif Immobilisé" prompt="Comprend l'ensemble des biens qui ont vocation à perdurer durablement." sqref="F10" xr:uid="{9C084344-D173-4552-825B-1936F2F54A4A}">
      <formula1>0</formula1>
    </dataValidation>
    <dataValidation type="decimal" operator="greaterThan" allowBlank="1" showErrorMessage="1" errorTitle="Non négativité" error="Veuillez entre un chiffre qui ne soit pas négatif" promptTitle="Dettes à court terme" prompt="Ne comprend que le passif exigible à moins d'un an" sqref="F18" xr:uid="{CADE03B3-DD60-4A80-869C-66DCA9496AB4}">
      <formula1>0</formula1>
    </dataValidation>
    <dataValidation type="decimal" operator="greaterThan" allowBlank="1" showErrorMessage="1" errorTitle="Non négativité" error="Veuillez entre un chiffre qui ne soit pas négatif" promptTitle="Actif Circulant" prompt="Comprend les actifs d'exploitation, les actifs réalisables et la trésorerie" sqref="F12:F13" xr:uid="{D5095D40-1B90-4A21-A367-AEEF0B73EE9C}">
      <formula1>0</formula1>
    </dataValidation>
    <dataValidation type="decimal" operator="greaterThan" allowBlank="1" showErrorMessage="1" errorTitle="Non négativité" error="Veuillez entre un chiffre qui ne soit pas négatif" promptTitle="Capitaux Permanents" prompt="Comprend les capitaux propres et les dettes à long terme" sqref="F16" xr:uid="{3DDF0A2E-AB06-46AC-AE10-FF0B33A7EA0A}">
      <formula1>0</formula1>
    </dataValidation>
    <dataValidation type="decimal" errorStyle="information" operator="greaterThan" allowBlank="1" showErrorMessage="1" errorTitle="Non négativité" error="Veuillez entre un chiffre qui ne soit pas négatif" promptTitle="Actif Circulant" prompt="Comprend les actifs d'exploitation, les actifs réalisables et la trésorerie" sqref="F14" xr:uid="{4397329C-7B9F-4010-8447-1A90E84C3726}">
      <formula1>0</formula1>
    </dataValidation>
    <dataValidation type="decimal" errorStyle="information" operator="greaterThanOrEqual" allowBlank="1" showInputMessage="1" showErrorMessage="1" errorTitle="Non négativité" error="Veuillez entrer un chiffre qui ne soit pas négatif" sqref="F20" xr:uid="{7631DE3E-B006-4C51-BEDE-B444DBA15CE3}">
      <formula1>0</formula1>
    </dataValidation>
  </dataValidations>
  <pageMargins left="0.7" right="0.7" top="0.75" bottom="0.75" header="0.3" footer="0.3"/>
  <pageSetup paperSize="9" orientation="portrait" horizontalDpi="4294967292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D6030-0FDF-451E-A1C3-0670704B4A0C}">
  <dimension ref="C9:L33"/>
  <sheetViews>
    <sheetView showGridLines="0" zoomScale="90" zoomScaleNormal="90" workbookViewId="0"/>
  </sheetViews>
  <sheetFormatPr baseColWidth="10" defaultRowHeight="15" x14ac:dyDescent="0.25"/>
  <cols>
    <col min="1" max="10" width="11.42578125" style="1"/>
    <col min="11" max="11" width="1.85546875" style="1" customWidth="1"/>
    <col min="12" max="16384" width="11.42578125" style="1"/>
  </cols>
  <sheetData>
    <row r="9" spans="6:12" ht="18.75" x14ac:dyDescent="0.3">
      <c r="H9" s="4"/>
      <c r="L9" s="3"/>
    </row>
    <row r="10" spans="6:12" x14ac:dyDescent="0.25">
      <c r="F10" s="3"/>
    </row>
    <row r="11" spans="6:12" ht="18.75" x14ac:dyDescent="0.3">
      <c r="H11" s="4"/>
      <c r="L11" s="3"/>
    </row>
    <row r="12" spans="6:12" x14ac:dyDescent="0.25">
      <c r="F12" s="3"/>
    </row>
    <row r="13" spans="6:12" ht="18.75" x14ac:dyDescent="0.3">
      <c r="F13" s="3"/>
      <c r="H13" s="4"/>
      <c r="L13" s="3"/>
    </row>
    <row r="14" spans="6:12" x14ac:dyDescent="0.25">
      <c r="F14" s="3"/>
    </row>
    <row r="16" spans="6:12" x14ac:dyDescent="0.25">
      <c r="F16" s="3"/>
      <c r="H16" s="6"/>
    </row>
    <row r="18" spans="3:12" x14ac:dyDescent="0.25">
      <c r="F18" s="3"/>
    </row>
    <row r="20" spans="3:12" x14ac:dyDescent="0.25">
      <c r="F20" s="3"/>
    </row>
    <row r="28" spans="3:12" x14ac:dyDescent="0.25">
      <c r="C28" s="5" t="s">
        <v>4</v>
      </c>
      <c r="D28" s="5">
        <f>IF(D29=D30,D29+D30,"Bilan non équilibré")</f>
        <v>0</v>
      </c>
    </row>
    <row r="29" spans="3:12" x14ac:dyDescent="0.25">
      <c r="C29" s="5" t="s">
        <v>5</v>
      </c>
      <c r="D29" s="5">
        <f>F10+F12+F14</f>
        <v>0</v>
      </c>
    </row>
    <row r="30" spans="3:12" x14ac:dyDescent="0.25">
      <c r="C30" s="5" t="s">
        <v>6</v>
      </c>
      <c r="D30" s="5">
        <f>F16+F18+F20</f>
        <v>0</v>
      </c>
      <c r="L30" s="3"/>
    </row>
    <row r="31" spans="3:12" x14ac:dyDescent="0.25">
      <c r="C31" s="5" t="s">
        <v>7</v>
      </c>
      <c r="D31" s="5">
        <f>IF(D28&lt;&gt;"Bilan non équilibré",F16-F10,"Bilan non équilibré")</f>
        <v>0</v>
      </c>
    </row>
    <row r="32" spans="3:12" x14ac:dyDescent="0.25">
      <c r="C32" s="5" t="s">
        <v>8</v>
      </c>
      <c r="D32" s="5">
        <f>IF(D28&lt;&gt;"Bilan non équilibré",F12-F18,"Bilan non équilibré")</f>
        <v>0</v>
      </c>
    </row>
    <row r="33" spans="3:4" x14ac:dyDescent="0.25">
      <c r="C33" s="5" t="s">
        <v>9</v>
      </c>
      <c r="D33" s="5">
        <f>IF(D28&lt;&gt;"Bilan non équilibré",D31-D32,"Bilan non équilibré")</f>
        <v>0</v>
      </c>
    </row>
  </sheetData>
  <conditionalFormatting sqref="L9">
    <cfRule type="expression" dxfId="17" priority="5">
      <formula>AND($L$9&lt;0,$L$9&lt;&gt;"")</formula>
    </cfRule>
    <cfRule type="expression" dxfId="16" priority="6">
      <formula>AND($L$9&gt;0,$L$9&lt;&gt;"")</formula>
    </cfRule>
  </conditionalFormatting>
  <conditionalFormatting sqref="L11">
    <cfRule type="expression" dxfId="15" priority="3">
      <formula>AND($L$11&gt;0,$L$11&lt;&gt;"")</formula>
    </cfRule>
    <cfRule type="expression" dxfId="14" priority="4">
      <formula>AND($L$11&lt;0,$L$11&lt;&gt;"")</formula>
    </cfRule>
  </conditionalFormatting>
  <conditionalFormatting sqref="L13">
    <cfRule type="expression" dxfId="13" priority="1">
      <formula>AND($L$13&lt;0,$L$13&lt;&gt;"")</formula>
    </cfRule>
    <cfRule type="expression" dxfId="12" priority="2">
      <formula>AND($L$13&gt;0,$L$13&lt;&gt;"")</formula>
    </cfRule>
  </conditionalFormatting>
  <dataValidations count="6">
    <dataValidation type="decimal" errorStyle="information" operator="greaterThanOrEqual" allowBlank="1" showInputMessage="1" showErrorMessage="1" errorTitle="Non négativité" error="Veuillez entrer un chiffre qui ne soit pas négatif" sqref="F20" xr:uid="{06EB6CC7-4519-46A4-AA9C-22F3B04FC671}">
      <formula1>0</formula1>
    </dataValidation>
    <dataValidation type="decimal" errorStyle="information" operator="greaterThan" allowBlank="1" showErrorMessage="1" errorTitle="Non négativité" error="Veuillez entre un chiffre qui ne soit pas négatif" promptTitle="Actif Circulant" prompt="Comprend les actifs d'exploitation, les actifs réalisables et la trésorerie" sqref="F14" xr:uid="{D98BD157-233B-4F92-AFEF-EAE9EA6E980A}">
      <formula1>0</formula1>
    </dataValidation>
    <dataValidation type="decimal" operator="greaterThan" allowBlank="1" showErrorMessage="1" errorTitle="Non négativité" error="Veuillez entre un chiffre qui ne soit pas négatif" promptTitle="Capitaux Permanents" prompt="Comprend les capitaux propres et les dettes à long terme" sqref="F16" xr:uid="{319929E9-086C-4EA6-8C46-52F0609AB521}">
      <formula1>0</formula1>
    </dataValidation>
    <dataValidation type="decimal" operator="greaterThan" allowBlank="1" showErrorMessage="1" errorTitle="Non négativité" error="Veuillez entre un chiffre qui ne soit pas négatif" promptTitle="Actif Circulant" prompt="Comprend les actifs d'exploitation, les actifs réalisables et la trésorerie" sqref="F12:F13" xr:uid="{F3B6D77F-AA05-4E3C-8453-E8A8F2449BA2}">
      <formula1>0</formula1>
    </dataValidation>
    <dataValidation type="decimal" operator="greaterThan" allowBlank="1" showErrorMessage="1" errorTitle="Non négativité" error="Veuillez entre un chiffre qui ne soit pas négatif" promptTitle="Dettes à court terme" prompt="Ne comprend que le passif exigible à moins d'un an" sqref="F18" xr:uid="{E33230FE-060F-476C-9676-55ABDFF877FF}">
      <formula1>0</formula1>
    </dataValidation>
    <dataValidation type="decimal" errorStyle="information" operator="greaterThan" allowBlank="1" showErrorMessage="1" errorTitle="Non négativité" error="Veuillez entrer un chiffre qui ne soit pas négatif" promptTitle="Actif Immobilisé" prompt="Comprend l'ensemble des biens qui ont vocation à perdurer durablement." sqref="F10" xr:uid="{3DB783CF-CA15-4B8A-9020-39CC8472DBCF}">
      <formula1>0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3F0F0-3E89-445E-A7A0-895540BCA2E9}">
  <dimension ref="C9:L33"/>
  <sheetViews>
    <sheetView showGridLines="0" zoomScale="90" zoomScaleNormal="90" workbookViewId="0"/>
  </sheetViews>
  <sheetFormatPr baseColWidth="10" defaultRowHeight="15" x14ac:dyDescent="0.25"/>
  <cols>
    <col min="1" max="10" width="11.42578125" style="1"/>
    <col min="11" max="11" width="1.85546875" style="1" customWidth="1"/>
    <col min="12" max="16384" width="11.42578125" style="1"/>
  </cols>
  <sheetData>
    <row r="9" spans="6:12" ht="18.75" x14ac:dyDescent="0.3">
      <c r="H9" s="4"/>
      <c r="L9" s="3"/>
    </row>
    <row r="10" spans="6:12" x14ac:dyDescent="0.25">
      <c r="F10" s="3"/>
    </row>
    <row r="11" spans="6:12" ht="18.75" x14ac:dyDescent="0.3">
      <c r="H11" s="4"/>
      <c r="L11" s="3"/>
    </row>
    <row r="12" spans="6:12" x14ac:dyDescent="0.25">
      <c r="F12" s="3"/>
    </row>
    <row r="13" spans="6:12" ht="18.75" x14ac:dyDescent="0.3">
      <c r="F13" s="3"/>
      <c r="H13" s="4"/>
      <c r="L13" s="3"/>
    </row>
    <row r="14" spans="6:12" x14ac:dyDescent="0.25">
      <c r="F14" s="3"/>
    </row>
    <row r="16" spans="6:12" x14ac:dyDescent="0.25">
      <c r="F16" s="3"/>
      <c r="H16" s="6"/>
    </row>
    <row r="18" spans="3:12" x14ac:dyDescent="0.25">
      <c r="F18" s="3"/>
    </row>
    <row r="20" spans="3:12" x14ac:dyDescent="0.25">
      <c r="F20" s="3"/>
    </row>
    <row r="28" spans="3:12" x14ac:dyDescent="0.25">
      <c r="C28" s="5"/>
      <c r="D28" s="5"/>
    </row>
    <row r="29" spans="3:12" x14ac:dyDescent="0.25">
      <c r="C29" s="5" t="s">
        <v>5</v>
      </c>
      <c r="D29" s="5">
        <f>F10+F12+F14</f>
        <v>0</v>
      </c>
    </row>
    <row r="30" spans="3:12" x14ac:dyDescent="0.25">
      <c r="C30" s="5" t="s">
        <v>6</v>
      </c>
      <c r="D30" s="5">
        <f>F16+F18+F20</f>
        <v>0</v>
      </c>
      <c r="L30" s="3"/>
    </row>
    <row r="31" spans="3:12" x14ac:dyDescent="0.25">
      <c r="C31" s="5" t="s">
        <v>7</v>
      </c>
      <c r="D31" s="5">
        <f>IF(D28&lt;&gt;"Bilan non équilibré",F16-F10,"Bilan non équilibré")</f>
        <v>0</v>
      </c>
    </row>
    <row r="32" spans="3:12" x14ac:dyDescent="0.25">
      <c r="C32" s="5" t="s">
        <v>8</v>
      </c>
      <c r="D32" s="5">
        <f>IF(D28&lt;&gt;"Bilan non équilibré",F12-F18,"Bilan non équilibré")</f>
        <v>0</v>
      </c>
    </row>
    <row r="33" spans="3:4" x14ac:dyDescent="0.25">
      <c r="C33" s="5" t="s">
        <v>9</v>
      </c>
      <c r="D33" s="5">
        <f>IF(D28&lt;&gt;"Bilan non équilibré",D31-D32,"Bilan non équilibré")</f>
        <v>0</v>
      </c>
    </row>
  </sheetData>
  <conditionalFormatting sqref="L9">
    <cfRule type="expression" dxfId="11" priority="5">
      <formula>AND($L$9&lt;0,$L$9&lt;&gt;"")</formula>
    </cfRule>
    <cfRule type="expression" dxfId="10" priority="6">
      <formula>AND($L$9&gt;0,$L$9&lt;&gt;"")</formula>
    </cfRule>
  </conditionalFormatting>
  <conditionalFormatting sqref="L11">
    <cfRule type="expression" dxfId="9" priority="3">
      <formula>AND($L$11&gt;0,$L$11&lt;&gt;"")</formula>
    </cfRule>
    <cfRule type="expression" dxfId="8" priority="4">
      <formula>AND($L$11&lt;0,$L$11&lt;&gt;"")</formula>
    </cfRule>
  </conditionalFormatting>
  <conditionalFormatting sqref="L13">
    <cfRule type="expression" dxfId="7" priority="1">
      <formula>AND($L$13&lt;0,$L$13&lt;&gt;"")</formula>
    </cfRule>
    <cfRule type="expression" dxfId="6" priority="2">
      <formula>AND($L$13&gt;0,$L$13&lt;&gt;"")</formula>
    </cfRule>
  </conditionalFormatting>
  <dataValidations count="6">
    <dataValidation type="decimal" errorStyle="information" operator="greaterThanOrEqual" allowBlank="1" showInputMessage="1" showErrorMessage="1" errorTitle="Non négativité" error="Veuillez entrer un chiffre qui ne soit pas négatif" sqref="F20" xr:uid="{08BBF97E-ACE1-4495-A44F-07A01F363AFC}">
      <formula1>0</formula1>
    </dataValidation>
    <dataValidation type="decimal" errorStyle="information" operator="greaterThan" allowBlank="1" showErrorMessage="1" errorTitle="Non négativité" error="Veuillez entre un chiffre qui ne soit pas négatif" promptTitle="Actif Circulant" prompt="Comprend les actifs d'exploitation, les actifs réalisables et la trésorerie" sqref="F14" xr:uid="{AB18509D-75A8-40EB-8560-17805ADD3D49}">
      <formula1>0</formula1>
    </dataValidation>
    <dataValidation type="decimal" operator="greaterThan" allowBlank="1" showErrorMessage="1" errorTitle="Non négativité" error="Veuillez entre un chiffre qui ne soit pas négatif" promptTitle="Capitaux Permanents" prompt="Comprend les capitaux propres et les dettes à long terme" sqref="F16" xr:uid="{63FA2251-40D5-407C-B313-9A45427822A8}">
      <formula1>0</formula1>
    </dataValidation>
    <dataValidation type="decimal" operator="greaterThan" allowBlank="1" showErrorMessage="1" errorTitle="Non négativité" error="Veuillez entre un chiffre qui ne soit pas négatif" promptTitle="Actif Circulant" prompt="Comprend les actifs d'exploitation, les actifs réalisables et la trésorerie" sqref="F12:F13" xr:uid="{24147C2B-6B37-47CD-8838-3DCA221D0B75}">
      <formula1>0</formula1>
    </dataValidation>
    <dataValidation type="decimal" operator="greaterThan" allowBlank="1" showErrorMessage="1" errorTitle="Non négativité" error="Veuillez entre un chiffre qui ne soit pas négatif" promptTitle="Dettes à court terme" prompt="Ne comprend que le passif exigible à moins d'un an" sqref="F18" xr:uid="{A0E8E3E1-F076-4599-9D10-3CC7A2C4CBFF}">
      <formula1>0</formula1>
    </dataValidation>
    <dataValidation type="decimal" errorStyle="information" operator="greaterThan" allowBlank="1" showErrorMessage="1" errorTitle="Non négativité" error="Veuillez entrer un chiffre qui ne soit pas négatif" promptTitle="Actif Immobilisé" prompt="Comprend l'ensemble des biens qui ont vocation à perdurer durablement." sqref="F10" xr:uid="{018E26B0-100E-4301-8006-EA4AD58A80B2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22843-9AA6-499E-AC9D-76594F6FB41D}">
  <dimension ref="C9:L33"/>
  <sheetViews>
    <sheetView showGridLines="0" zoomScale="90" zoomScaleNormal="90" workbookViewId="0"/>
  </sheetViews>
  <sheetFormatPr baseColWidth="10" defaultRowHeight="15" x14ac:dyDescent="0.25"/>
  <cols>
    <col min="1" max="10" width="11.42578125" style="1"/>
    <col min="11" max="11" width="1.85546875" style="1" customWidth="1"/>
    <col min="12" max="16384" width="11.42578125" style="1"/>
  </cols>
  <sheetData>
    <row r="9" spans="6:12" ht="18.75" x14ac:dyDescent="0.3">
      <c r="H9" s="4"/>
      <c r="L9" s="3"/>
    </row>
    <row r="10" spans="6:12" x14ac:dyDescent="0.25">
      <c r="F10" s="3"/>
    </row>
    <row r="11" spans="6:12" ht="18.75" x14ac:dyDescent="0.3">
      <c r="H11" s="4"/>
      <c r="L11" s="3"/>
    </row>
    <row r="12" spans="6:12" x14ac:dyDescent="0.25">
      <c r="F12" s="3"/>
    </row>
    <row r="13" spans="6:12" ht="18.75" x14ac:dyDescent="0.3">
      <c r="F13" s="3"/>
      <c r="H13" s="4"/>
      <c r="L13" s="3"/>
    </row>
    <row r="14" spans="6:12" x14ac:dyDescent="0.25">
      <c r="F14" s="3"/>
    </row>
    <row r="16" spans="6:12" x14ac:dyDescent="0.25">
      <c r="F16" s="3"/>
      <c r="H16" s="6"/>
    </row>
    <row r="18" spans="3:12" x14ac:dyDescent="0.25">
      <c r="F18" s="3"/>
    </row>
    <row r="20" spans="3:12" x14ac:dyDescent="0.25">
      <c r="F20" s="3"/>
    </row>
    <row r="28" spans="3:12" x14ac:dyDescent="0.25">
      <c r="C28" s="5" t="s">
        <v>4</v>
      </c>
      <c r="D28" s="5">
        <f>IF(D29=D30,D29+D30,"Bilan non équilibré")</f>
        <v>0</v>
      </c>
    </row>
    <row r="29" spans="3:12" x14ac:dyDescent="0.25">
      <c r="C29" s="5" t="s">
        <v>5</v>
      </c>
      <c r="D29" s="5">
        <f>F10+F12+F14</f>
        <v>0</v>
      </c>
    </row>
    <row r="30" spans="3:12" x14ac:dyDescent="0.25">
      <c r="C30" s="5" t="s">
        <v>6</v>
      </c>
      <c r="D30" s="5">
        <f>F16+F18+F20</f>
        <v>0</v>
      </c>
      <c r="L30" s="3"/>
    </row>
    <row r="31" spans="3:12" x14ac:dyDescent="0.25">
      <c r="C31" s="5" t="s">
        <v>7</v>
      </c>
      <c r="D31" s="5">
        <f>IF(D28&lt;&gt;"Bilan non équilibré",F16-F10,"Bilan non équilibré")</f>
        <v>0</v>
      </c>
    </row>
    <row r="32" spans="3:12" x14ac:dyDescent="0.25">
      <c r="C32" s="5" t="s">
        <v>8</v>
      </c>
      <c r="D32" s="5">
        <f>IF(D28&lt;&gt;"Bilan non équilibré",F12-F18,"Bilan non équilibré")</f>
        <v>0</v>
      </c>
    </row>
    <row r="33" spans="3:4" x14ac:dyDescent="0.25">
      <c r="C33" s="5" t="s">
        <v>9</v>
      </c>
      <c r="D33" s="5">
        <f>IF(D28&lt;&gt;"Bilan non équilibré",D31-D32,"Bilan non équilibré")</f>
        <v>0</v>
      </c>
    </row>
  </sheetData>
  <conditionalFormatting sqref="L9">
    <cfRule type="expression" dxfId="5" priority="5">
      <formula>AND($L$9&lt;0,$L$9&lt;&gt;"")</formula>
    </cfRule>
    <cfRule type="expression" dxfId="4" priority="6">
      <formula>AND($L$9&gt;0,$L$9&lt;&gt;"")</formula>
    </cfRule>
  </conditionalFormatting>
  <conditionalFormatting sqref="L11">
    <cfRule type="expression" dxfId="3" priority="3">
      <formula>AND($L$11&gt;0,$L$11&lt;&gt;"")</formula>
    </cfRule>
    <cfRule type="expression" dxfId="2" priority="4">
      <formula>AND($L$11&lt;0,$L$11&lt;&gt;"")</formula>
    </cfRule>
  </conditionalFormatting>
  <conditionalFormatting sqref="L13">
    <cfRule type="expression" dxfId="1" priority="1">
      <formula>AND($L$13&lt;0,$L$13&lt;&gt;"")</formula>
    </cfRule>
    <cfRule type="expression" dxfId="0" priority="2">
      <formula>AND($L$13&gt;0,$L$13&lt;&gt;"")</formula>
    </cfRule>
  </conditionalFormatting>
  <dataValidations count="6">
    <dataValidation type="decimal" errorStyle="information" operator="greaterThanOrEqual" allowBlank="1" showInputMessage="1" showErrorMessage="1" errorTitle="Non négativité" error="Veuillez entrer un chiffre qui ne soit pas négatif" sqref="F20" xr:uid="{C4462235-8802-493E-9219-B2C4591DDF00}">
      <formula1>0</formula1>
    </dataValidation>
    <dataValidation type="decimal" errorStyle="information" operator="greaterThan" allowBlank="1" showErrorMessage="1" errorTitle="Non négativité" error="Veuillez entre un chiffre qui ne soit pas négatif" promptTitle="Actif Circulant" prompt="Comprend les actifs d'exploitation, les actifs réalisables et la trésorerie" sqref="F14" xr:uid="{CE7E94F3-83F1-49EC-BF24-EFD09DB01CDC}">
      <formula1>0</formula1>
    </dataValidation>
    <dataValidation type="decimal" operator="greaterThan" allowBlank="1" showErrorMessage="1" errorTitle="Non négativité" error="Veuillez entre un chiffre qui ne soit pas négatif" promptTitle="Capitaux Permanents" prompt="Comprend les capitaux propres et les dettes à long terme" sqref="F16" xr:uid="{D3E7160F-FE9D-4717-9513-66543873E736}">
      <formula1>0</formula1>
    </dataValidation>
    <dataValidation type="decimal" operator="greaterThan" allowBlank="1" showErrorMessage="1" errorTitle="Non négativité" error="Veuillez entre un chiffre qui ne soit pas négatif" promptTitle="Actif Circulant" prompt="Comprend les actifs d'exploitation, les actifs réalisables et la trésorerie" sqref="F12:F13" xr:uid="{5D14FC24-44BA-4719-9000-725FBC00E397}">
      <formula1>0</formula1>
    </dataValidation>
    <dataValidation type="decimal" operator="greaterThan" allowBlank="1" showErrorMessage="1" errorTitle="Non négativité" error="Veuillez entre un chiffre qui ne soit pas négatif" promptTitle="Dettes à court terme" prompt="Ne comprend que le passif exigible à moins d'un an" sqref="F18" xr:uid="{ECF10C66-F05A-421E-A43C-3A6FCCC10D08}">
      <formula1>0</formula1>
    </dataValidation>
    <dataValidation type="decimal" errorStyle="information" operator="greaterThan" allowBlank="1" showErrorMessage="1" errorTitle="Non négativité" error="Veuillez entrer un chiffre qui ne soit pas négatif" promptTitle="Actif Immobilisé" prompt="Comprend l'ensemble des biens qui ont vocation à perdurer durablement." sqref="F10" xr:uid="{5186BCAA-B06C-4D33-AF83-C91DEC66B165}">
      <formula1>0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r1</vt:lpstr>
      <vt:lpstr>r2</vt:lpstr>
      <vt:lpstr>r3</vt:lpstr>
      <vt:lpstr>r4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2023-01-19T00:00:08Z</dcterms:created>
  <dcterms:modified xsi:type="dcterms:W3CDTF">2023-01-19T19:18:36Z</dcterms:modified>
</cp:coreProperties>
</file>